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m\Downloads\"/>
    </mc:Choice>
  </mc:AlternateContent>
  <xr:revisionPtr revIDLastSave="0" documentId="13_ncr:1_{7EE26438-F1CC-4C7F-AA97-D8AA06DB059F}" xr6:coauthVersionLast="47" xr6:coauthVersionMax="47" xr10:uidLastSave="{00000000-0000-0000-0000-000000000000}"/>
  <bookViews>
    <workbookView xWindow="-108" yWindow="-108" windowWidth="23256" windowHeight="12456" tabRatio="500" firstSheet="8" activeTab="10" xr2:uid="{00000000-000D-0000-FFFF-FFFF00000000}"/>
  </bookViews>
  <sheets>
    <sheet name="Key Facts" sheetId="1" r:id="rId1"/>
    <sheet name="Market Sizing" sheetId="2" r:id="rId2"/>
    <sheet name="Brand Preference" sheetId="3" r:id="rId3"/>
    <sheet name="Segment Requirements" sheetId="4" r:id="rId4"/>
    <sheet name="Stakeholder Priority" sheetId="5" r:id="rId5"/>
    <sheet name="Budget Allocation Benchmark" sheetId="6" r:id="rId6"/>
    <sheet name="Competitor Analysis" sheetId="7" r:id="rId7"/>
    <sheet name="Influencer Classification" sheetId="8" r:id="rId8"/>
    <sheet name="Marketing Investments" sheetId="9" r:id="rId9"/>
    <sheet name="Campaign Metrics" sheetId="10" r:id="rId10"/>
    <sheet name="Performance KPIs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9" l="1"/>
  <c r="B12" i="6"/>
  <c r="B13" i="3"/>
</calcChain>
</file>

<file path=xl/sharedStrings.xml><?xml version="1.0" encoding="utf-8"?>
<sst xmlns="http://schemas.openxmlformats.org/spreadsheetml/2006/main" count="214" uniqueCount="193">
  <si>
    <t>Key Facts Pertaining to Eurogrip</t>
  </si>
  <si>
    <t>Metric</t>
  </si>
  <si>
    <t>Value</t>
  </si>
  <si>
    <t>Revenue from products launched in last 3 years</t>
  </si>
  <si>
    <t>35%</t>
  </si>
  <si>
    <t>Annual revenue of TVS Mobility Group (to be leveraged)</t>
  </si>
  <si>
    <t>$3 billion</t>
  </si>
  <si>
    <t>Countries presence</t>
  </si>
  <si>
    <t>85+</t>
  </si>
  <si>
    <t>Share in the Indian 2W market</t>
  </si>
  <si>
    <t>10%</t>
  </si>
  <si>
    <t>R&amp;D excellence</t>
  </si>
  <si>
    <t>Global technological integration</t>
  </si>
  <si>
    <t>Source: Team Dynamites - Eurogrip TORQ 3.0 presentation</t>
  </si>
  <si>
    <t>2-Wheeler &amp; Tyre Market Sizing (India)</t>
  </si>
  <si>
    <t>Notes</t>
  </si>
  <si>
    <t>2W Market - Domestic Market Share (FY24)</t>
  </si>
  <si>
    <t>75.35%</t>
  </si>
  <si>
    <t>2W Market - Revenue Expected (FY25)</t>
  </si>
  <si>
    <t>USD 33.47 billion</t>
  </si>
  <si>
    <t>CAGR FY25-29 approx. 4.24%</t>
  </si>
  <si>
    <t>2W Market - Sales Volume Growth (FY23 to FY24)</t>
  </si>
  <si>
    <t>13.31%</t>
  </si>
  <si>
    <t>2W Tyre Market - Valuation (2024)</t>
  </si>
  <si>
    <t>USD 12.8 billion</t>
  </si>
  <si>
    <t>7.4% of global market</t>
  </si>
  <si>
    <t>2W Tyre Market - Projection (2030)</t>
  </si>
  <si>
    <t>USD 29 billion</t>
  </si>
  <si>
    <t>CAGR 7-9%</t>
  </si>
  <si>
    <t>Indian 2W Tyre Market (2025)</t>
  </si>
  <si>
    <t>USD 3 billion (approx.)</t>
  </si>
  <si>
    <t>CAGR 10-12%</t>
  </si>
  <si>
    <t>Source: India Tyre Market</t>
  </si>
  <si>
    <t>Brand Preference for 2W Tyres (Consumer Survey)</t>
  </si>
  <si>
    <t>Brand</t>
  </si>
  <si>
    <t>Preference Share (%)</t>
  </si>
  <si>
    <t>CEAT</t>
  </si>
  <si>
    <t>MRF</t>
  </si>
  <si>
    <t>Eurogrip</t>
  </si>
  <si>
    <t>JK Tyres</t>
  </si>
  <si>
    <t>Apollo</t>
  </si>
  <si>
    <t>Michelin</t>
  </si>
  <si>
    <t>Source: Primary market research - Team Dynamites</t>
  </si>
  <si>
    <t>Total</t>
  </si>
  <si>
    <t>Segment-Specific Tyre Requirements (Priority Rating, 0-10)</t>
  </si>
  <si>
    <t>Segment</t>
  </si>
  <si>
    <t>Grip</t>
  </si>
  <si>
    <t>Handling</t>
  </si>
  <si>
    <t>Durability</t>
  </si>
  <si>
    <t>Off-Road Capability</t>
  </si>
  <si>
    <t>Sports</t>
  </si>
  <si>
    <t>Adventure</t>
  </si>
  <si>
    <t>Superbike</t>
  </si>
  <si>
    <t>Stakeholder Priority Comparison (Priority Rating, 0-10)</t>
  </si>
  <si>
    <t>Stakeholder Group</t>
  </si>
  <si>
    <t>Safety</t>
  </si>
  <si>
    <t>Performance</t>
  </si>
  <si>
    <t>Brand Trust</t>
  </si>
  <si>
    <t>Business Support</t>
  </si>
  <si>
    <t>Mechanics</t>
  </si>
  <si>
    <t>Dealers</t>
  </si>
  <si>
    <t>Consumers</t>
  </si>
  <si>
    <t>Enthusiasts</t>
  </si>
  <si>
    <t>Differential Marketing Budget Allocation (Industry Benchmark)</t>
  </si>
  <si>
    <t>Channel</t>
  </si>
  <si>
    <t>Allocation (%)</t>
  </si>
  <si>
    <t>Festive/Seasonal Promotions</t>
  </si>
  <si>
    <t>Digital Marketing</t>
  </si>
  <si>
    <t>Traditional Media</t>
  </si>
  <si>
    <t>Event Sponsorship</t>
  </si>
  <si>
    <t>Others</t>
  </si>
  <si>
    <t>Competitor Analysis - 2W Tyre Brands</t>
  </si>
  <si>
    <t>Market Share</t>
  </si>
  <si>
    <t>Technology</t>
  </si>
  <si>
    <t>Range / Variety</t>
  </si>
  <si>
    <t>Pricing</t>
  </si>
  <si>
    <t>Key Weakness</t>
  </si>
  <si>
    <t>Growing (10%)</t>
  </si>
  <si>
    <t>Innovative - DuCT, TriP, RoBusT</t>
  </si>
  <si>
    <t>Wide range for commuters &amp; scooters</t>
  </si>
  <si>
    <t>Value for Money</t>
  </si>
  <si>
    <t>Availability issues; premium models (e.g., Protorq Extreme) hard to find offline</t>
  </si>
  <si>
    <t>Leader (33%)</t>
  </si>
  <si>
    <t>Dual Compound Technology, Bias-Ply</t>
  </si>
  <si>
    <t>Broad range, strong in commuter segment</t>
  </si>
  <si>
    <t>Over-diversification; focus on too many segments</t>
  </si>
  <si>
    <t>Strong (23%)</t>
  </si>
  <si>
    <t>Advanced R&amp;D, Design Validation</t>
  </si>
  <si>
    <t>Largest variety, covers all segments</t>
  </si>
  <si>
    <t>Moderate</t>
  </si>
  <si>
    <t>Highly reliant on Indian market; high pricing</t>
  </si>
  <si>
    <t>JK Tyre</t>
  </si>
  <si>
    <t>Moderate (8%)</t>
  </si>
  <si>
    <t>Smart Tyre Technology, 'Tyre with Brain'</t>
  </si>
  <si>
    <t>Focus on affordability, popular in budget segment</t>
  </si>
  <si>
    <t>Affordable</t>
  </si>
  <si>
    <t>Pricing pressure; marketing weakness &amp; lower recall</t>
  </si>
  <si>
    <t>Niche (~5%)</t>
  </si>
  <si>
    <t>Apollo Quiet Tyre Technology, WAV Range for EVs</t>
  </si>
  <si>
    <t>Good mix of commuter &amp; performance</t>
  </si>
  <si>
    <t>Moderate/Expensive</t>
  </si>
  <si>
    <t>High price perception; high dependence on Indian market</t>
  </si>
  <si>
    <t>REGENION Technology, Advanced Materials</t>
  </si>
  <si>
    <t>Premium, best for longevity &amp; grip</t>
  </si>
  <si>
    <t>Expensive</t>
  </si>
  <si>
    <t>Premium pricing; limited domestic market presence</t>
  </si>
  <si>
    <t>Source: India Tyre Market - Team Dynamites competitor analysis</t>
  </si>
  <si>
    <t>Influencer Classification</t>
  </si>
  <si>
    <t>Type</t>
  </si>
  <si>
    <t>Number of Followers</t>
  </si>
  <si>
    <t>Engagement Rate (%)</t>
  </si>
  <si>
    <t>Mega</t>
  </si>
  <si>
    <t>1M+</t>
  </si>
  <si>
    <t>Macro</t>
  </si>
  <si>
    <t>100K - 1 Million</t>
  </si>
  <si>
    <t>Micro</t>
  </si>
  <si>
    <t>10K - 100K</t>
  </si>
  <si>
    <t>Nano</t>
  </si>
  <si>
    <t>1K - 10K</t>
  </si>
  <si>
    <t>Source: The Rising Trend of Influencer Marketing in India</t>
  </si>
  <si>
    <t>Key Sectoral Data (Influencer Marketing - India)</t>
  </si>
  <si>
    <t>Indian Market Size (FY24)</t>
  </si>
  <si>
    <t>$281 million</t>
  </si>
  <si>
    <t>Projected Market Size (FY26)</t>
  </si>
  <si>
    <t>$404.8 million</t>
  </si>
  <si>
    <t>CAGR (2022-2026)</t>
  </si>
  <si>
    <t>&gt;18%</t>
  </si>
  <si>
    <t>Audience Base</t>
  </si>
  <si>
    <t>751 million+</t>
  </si>
  <si>
    <t>Top Platforms</t>
  </si>
  <si>
    <t>Instagram, YouTube</t>
  </si>
  <si>
    <t>Automobile brands increasing influencer spend by 10%</t>
  </si>
  <si>
    <t>57%</t>
  </si>
  <si>
    <t>Key Marketing Investments (Total Budget: Rs 20 Crore)</t>
  </si>
  <si>
    <t>Key Strategy</t>
  </si>
  <si>
    <t>Additional Detail &amp; Component</t>
  </si>
  <si>
    <t>Budget (Rs Crore)</t>
  </si>
  <si>
    <t>Riding Journey Across India</t>
  </si>
  <si>
    <t>RideWithDhoni campaign after team induction</t>
  </si>
  <si>
    <t>Events, Sponsorships, Community Rides</t>
  </si>
  <si>
    <t>Two flagship events/region/year, local sponsorships, community rides</t>
  </si>
  <si>
    <t>Custom Geographical Billboards, FLEXIs</t>
  </si>
  <si>
    <t>100 billboards in Tier 2 cities, FLEXIs for dealers nationwide</t>
  </si>
  <si>
    <t>Digital Advertising</t>
  </si>
  <si>
    <t>Advanced digital marketing strategies</t>
  </si>
  <si>
    <t>Regional Promotions &amp; Dealer Support</t>
  </si>
  <si>
    <t>Co-branded promotions, dealer incentives, POS branding</t>
  </si>
  <si>
    <t>Localized Media Commercials</t>
  </si>
  <si>
    <t>TV/digital ads by region, language adaptation, regional festival tie-ins</t>
  </si>
  <si>
    <t>Loyalty &amp; Referral Programs</t>
  </si>
  <si>
    <t>Customer rewards, referral bonuses, mechanic loyalty incentives</t>
  </si>
  <si>
    <t>Product Launch Events</t>
  </si>
  <si>
    <t>Launch events for new products (e.g., EcoGrip, IoT tyres), media &amp; dealer previews</t>
  </si>
  <si>
    <t>Data Analytics &amp; Performance Tracking</t>
  </si>
  <si>
    <t>Investment in dashboards and analytics tools for real-time monitoring and ROI optimization</t>
  </si>
  <si>
    <t>Sustainability Initiatives</t>
  </si>
  <si>
    <t>Campaigns highlighting eco-friendly products and community initiatives</t>
  </si>
  <si>
    <t>Campaign Funnel &amp; Financial Metrics</t>
  </si>
  <si>
    <t>Total Expressions</t>
  </si>
  <si>
    <t>~10 Crore</t>
  </si>
  <si>
    <t>Unique Expressions</t>
  </si>
  <si>
    <t>~4 Crore (40%)</t>
  </si>
  <si>
    <t>Conversion</t>
  </si>
  <si>
    <t>~6-8 Lakh</t>
  </si>
  <si>
    <t>Average Order Value</t>
  </si>
  <si>
    <t>Rs 2,000</t>
  </si>
  <si>
    <t>Revenue Generated</t>
  </si>
  <si>
    <t>~Rs 120-160 Crore</t>
  </si>
  <si>
    <t>Expected Sales Growth (Premium Segment, YoY)</t>
  </si>
  <si>
    <t>20-25%</t>
  </si>
  <si>
    <t>Additional Incremental Revenue (Year 1 post-campaign)</t>
  </si>
  <si>
    <t>Rs 120-180 Crore</t>
  </si>
  <si>
    <t>Expected Marketing ROI Improvement</t>
  </si>
  <si>
    <t>20-40%</t>
  </si>
  <si>
    <t>Performance Dashboard - Result Metrics</t>
  </si>
  <si>
    <t>KPI</t>
  </si>
  <si>
    <t>Result</t>
  </si>
  <si>
    <t>Monthly Sales Growth</t>
  </si>
  <si>
    <t>+5.2%</t>
  </si>
  <si>
    <t>Customer Engagement in Campaigns</t>
  </si>
  <si>
    <t>28%</t>
  </si>
  <si>
    <t>Brand Awareness</t>
  </si>
  <si>
    <t>64</t>
  </si>
  <si>
    <t>Complaint &amp; Solution Rate</t>
  </si>
  <si>
    <t>78%</t>
  </si>
  <si>
    <t>Loyalty Program Engagement</t>
  </si>
  <si>
    <t>91%</t>
  </si>
  <si>
    <t>Mechanic Advocacy Conversion Rate</t>
  </si>
  <si>
    <t>96%</t>
  </si>
  <si>
    <t>Exclusive Store Footfall</t>
  </si>
  <si>
    <t>10K+</t>
  </si>
  <si>
    <t>Source: TVS Eurogrip (Industry Report)</t>
  </si>
  <si>
    <t>Total Survey Participant: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</si>
</sst>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6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80808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5" fillId="0" borderId="1" xfId="0" applyFont="1" applyBorder="1"/>
    <xf numFmtId="164" fontId="5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Normal="100" workbookViewId="0">
      <pane ySplit="3" topLeftCell="A4" activePane="bottomLeft" state="frozen"/>
      <selection pane="bottomLeft" activeCell="A11" sqref="A11"/>
    </sheetView>
  </sheetViews>
  <sheetFormatPr defaultColWidth="8.6640625" defaultRowHeight="14.4" x14ac:dyDescent="0.3"/>
  <cols>
    <col min="1" max="1" width="45" customWidth="1"/>
    <col min="2" max="2" width="30" customWidth="1"/>
  </cols>
  <sheetData>
    <row r="1" spans="1:2" ht="17.399999999999999" x14ac:dyDescent="0.3">
      <c r="A1" s="1" t="s">
        <v>0</v>
      </c>
    </row>
    <row r="3" spans="1:2" x14ac:dyDescent="0.3">
      <c r="A3" s="2" t="s">
        <v>1</v>
      </c>
      <c r="B3" s="2" t="s">
        <v>2</v>
      </c>
    </row>
    <row r="4" spans="1:2" x14ac:dyDescent="0.3">
      <c r="A4" s="3" t="s">
        <v>3</v>
      </c>
      <c r="B4" s="3" t="s">
        <v>4</v>
      </c>
    </row>
    <row r="5" spans="1:2" ht="26.4" x14ac:dyDescent="0.3">
      <c r="A5" s="3" t="s">
        <v>5</v>
      </c>
      <c r="B5" s="3" t="s">
        <v>6</v>
      </c>
    </row>
    <row r="6" spans="1:2" x14ac:dyDescent="0.3">
      <c r="A6" s="3" t="s">
        <v>7</v>
      </c>
      <c r="B6" s="3" t="s">
        <v>8</v>
      </c>
    </row>
    <row r="7" spans="1:2" x14ac:dyDescent="0.3">
      <c r="A7" s="3" t="s">
        <v>9</v>
      </c>
      <c r="B7" s="3" t="s">
        <v>10</v>
      </c>
    </row>
    <row r="8" spans="1:2" x14ac:dyDescent="0.3">
      <c r="A8" s="3" t="s">
        <v>11</v>
      </c>
      <c r="B8" s="3" t="s">
        <v>12</v>
      </c>
    </row>
    <row r="10" spans="1:2" x14ac:dyDescent="0.3">
      <c r="A10" s="4" t="s">
        <v>191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Normal="100" workbookViewId="0">
      <pane ySplit="3" topLeftCell="A4" activePane="bottomLeft" state="frozen"/>
      <selection pane="bottomLeft" activeCell="A12" sqref="A12"/>
    </sheetView>
  </sheetViews>
  <sheetFormatPr defaultColWidth="8.6640625" defaultRowHeight="14.4" x14ac:dyDescent="0.3"/>
  <cols>
    <col min="1" max="1" width="42" customWidth="1"/>
    <col min="2" max="2" width="25" customWidth="1"/>
    <col min="3" max="3" width="30" customWidth="1"/>
  </cols>
  <sheetData>
    <row r="1" spans="1:3" ht="17.399999999999999" x14ac:dyDescent="0.3">
      <c r="A1" s="1" t="s">
        <v>14</v>
      </c>
    </row>
    <row r="3" spans="1:3" x14ac:dyDescent="0.3">
      <c r="A3" s="2" t="s">
        <v>1</v>
      </c>
      <c r="B3" s="2" t="s">
        <v>2</v>
      </c>
      <c r="C3" s="2" t="s">
        <v>15</v>
      </c>
    </row>
    <row r="4" spans="1:3" x14ac:dyDescent="0.3">
      <c r="A4" s="3" t="s">
        <v>16</v>
      </c>
      <c r="B4" s="3" t="s">
        <v>17</v>
      </c>
      <c r="C4" s="3"/>
    </row>
    <row r="5" spans="1:3" x14ac:dyDescent="0.3">
      <c r="A5" s="3" t="s">
        <v>18</v>
      </c>
      <c r="B5" s="3" t="s">
        <v>19</v>
      </c>
      <c r="C5" s="3" t="s">
        <v>20</v>
      </c>
    </row>
    <row r="6" spans="1:3" ht="26.4" x14ac:dyDescent="0.3">
      <c r="A6" s="3" t="s">
        <v>21</v>
      </c>
      <c r="B6" s="3" t="s">
        <v>22</v>
      </c>
      <c r="C6" s="3"/>
    </row>
    <row r="7" spans="1:3" x14ac:dyDescent="0.3">
      <c r="A7" s="3" t="s">
        <v>23</v>
      </c>
      <c r="B7" s="3" t="s">
        <v>24</v>
      </c>
      <c r="C7" s="3" t="s">
        <v>25</v>
      </c>
    </row>
    <row r="8" spans="1:3" x14ac:dyDescent="0.3">
      <c r="A8" s="3" t="s">
        <v>26</v>
      </c>
      <c r="B8" s="3" t="s">
        <v>27</v>
      </c>
      <c r="C8" s="3" t="s">
        <v>28</v>
      </c>
    </row>
    <row r="9" spans="1:3" x14ac:dyDescent="0.3">
      <c r="A9" s="3" t="s">
        <v>29</v>
      </c>
      <c r="B9" s="3" t="s">
        <v>30</v>
      </c>
      <c r="C9" s="3" t="s">
        <v>31</v>
      </c>
    </row>
    <row r="11" spans="1:3" x14ac:dyDescent="0.3">
      <c r="A11" s="4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workbookViewId="0">
      <pane ySplit="3" topLeftCell="A4" activePane="bottomLeft" state="frozen"/>
      <selection pane="bottomLeft" activeCell="D15" sqref="D15"/>
    </sheetView>
  </sheetViews>
  <sheetFormatPr defaultColWidth="8.6640625" defaultRowHeight="14.4" x14ac:dyDescent="0.3"/>
  <cols>
    <col min="1" max="1" width="43.5546875" customWidth="1"/>
    <col min="2" max="2" width="22" customWidth="1"/>
  </cols>
  <sheetData>
    <row r="1" spans="1:2" ht="17.399999999999999" x14ac:dyDescent="0.3">
      <c r="A1" s="9" t="s">
        <v>33</v>
      </c>
      <c r="B1" s="9"/>
    </row>
    <row r="2" spans="1:2" x14ac:dyDescent="0.3">
      <c r="A2" t="s">
        <v>192</v>
      </c>
    </row>
    <row r="3" spans="1:2" ht="27.6" x14ac:dyDescent="0.3">
      <c r="A3" s="2" t="s">
        <v>34</v>
      </c>
      <c r="B3" s="2" t="s">
        <v>35</v>
      </c>
    </row>
    <row r="4" spans="1:2" x14ac:dyDescent="0.3">
      <c r="A4" s="3" t="s">
        <v>36</v>
      </c>
      <c r="B4" s="3">
        <v>38.799999999999997</v>
      </c>
    </row>
    <row r="5" spans="1:2" x14ac:dyDescent="0.3">
      <c r="A5" s="3" t="s">
        <v>37</v>
      </c>
      <c r="B5" s="3">
        <v>28.2</v>
      </c>
    </row>
    <row r="6" spans="1:2" x14ac:dyDescent="0.3">
      <c r="A6" s="3" t="s">
        <v>38</v>
      </c>
      <c r="B6" s="3">
        <v>11.8</v>
      </c>
    </row>
    <row r="7" spans="1:2" x14ac:dyDescent="0.3">
      <c r="A7" s="3" t="s">
        <v>39</v>
      </c>
      <c r="B7" s="3">
        <v>9.4</v>
      </c>
    </row>
    <row r="8" spans="1:2" x14ac:dyDescent="0.3">
      <c r="A8" s="3" t="s">
        <v>40</v>
      </c>
      <c r="B8" s="3">
        <v>5.9</v>
      </c>
    </row>
    <row r="9" spans="1:2" x14ac:dyDescent="0.3">
      <c r="A9" s="3" t="s">
        <v>41</v>
      </c>
      <c r="B9" s="3">
        <v>5.9</v>
      </c>
    </row>
    <row r="11" spans="1:2" x14ac:dyDescent="0.3">
      <c r="A11" s="4" t="s">
        <v>42</v>
      </c>
    </row>
    <row r="13" spans="1:2" x14ac:dyDescent="0.3">
      <c r="A13" s="5" t="s">
        <v>43</v>
      </c>
      <c r="B13" s="6">
        <f>SUM(B4:B9)</f>
        <v>100.00000000000001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zoomScaleNormal="100" workbookViewId="0">
      <pane ySplit="3" topLeftCell="A4" activePane="bottomLeft" state="frozen"/>
      <selection pane="bottomLeft" activeCell="E13" sqref="E13"/>
    </sheetView>
  </sheetViews>
  <sheetFormatPr defaultColWidth="8.6640625" defaultRowHeight="14.4" x14ac:dyDescent="0.3"/>
  <cols>
    <col min="1" max="1" width="15" customWidth="1"/>
    <col min="2" max="2" width="10" customWidth="1"/>
    <col min="3" max="4" width="12" customWidth="1"/>
    <col min="5" max="5" width="18" customWidth="1"/>
  </cols>
  <sheetData>
    <row r="1" spans="1:6" ht="17.399999999999999" x14ac:dyDescent="0.3">
      <c r="A1" s="9" t="s">
        <v>44</v>
      </c>
      <c r="B1" s="9"/>
      <c r="C1" s="9"/>
      <c r="D1" s="9"/>
      <c r="E1" s="9"/>
      <c r="F1" s="9"/>
    </row>
    <row r="3" spans="1:6" ht="27.6" x14ac:dyDescent="0.3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</row>
    <row r="4" spans="1:6" x14ac:dyDescent="0.3">
      <c r="A4" s="3" t="s">
        <v>50</v>
      </c>
      <c r="B4" s="3">
        <v>9</v>
      </c>
      <c r="C4" s="3">
        <v>9</v>
      </c>
      <c r="D4" s="3">
        <v>7</v>
      </c>
      <c r="E4" s="3">
        <v>4</v>
      </c>
    </row>
    <row r="5" spans="1:6" x14ac:dyDescent="0.3">
      <c r="A5" s="3" t="s">
        <v>51</v>
      </c>
      <c r="B5" s="3">
        <v>7</v>
      </c>
      <c r="C5" s="3">
        <v>8</v>
      </c>
      <c r="D5" s="3">
        <v>9</v>
      </c>
      <c r="E5" s="3">
        <v>9</v>
      </c>
    </row>
    <row r="6" spans="1:6" x14ac:dyDescent="0.3">
      <c r="A6" s="3" t="s">
        <v>52</v>
      </c>
      <c r="B6" s="3">
        <v>10</v>
      </c>
      <c r="C6" s="3">
        <v>9</v>
      </c>
      <c r="D6" s="3">
        <v>7</v>
      </c>
      <c r="E6" s="3">
        <v>3</v>
      </c>
    </row>
    <row r="8" spans="1:6" x14ac:dyDescent="0.3">
      <c r="A8" s="4" t="s">
        <v>42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zoomScaleNormal="100" workbookViewId="0">
      <pane ySplit="3" topLeftCell="A4" activePane="bottomLeft" state="frozen"/>
      <selection pane="bottomLeft" activeCell="E13" sqref="E13"/>
    </sheetView>
  </sheetViews>
  <sheetFormatPr defaultColWidth="8.6640625" defaultRowHeight="14.4" x14ac:dyDescent="0.3"/>
  <cols>
    <col min="1" max="1" width="20" customWidth="1"/>
    <col min="2" max="2" width="10" customWidth="1"/>
    <col min="3" max="3" width="14" customWidth="1"/>
    <col min="4" max="4" width="13" customWidth="1"/>
    <col min="5" max="5" width="17" customWidth="1"/>
  </cols>
  <sheetData>
    <row r="1" spans="1:5" ht="17.399999999999999" x14ac:dyDescent="0.3">
      <c r="A1" s="9" t="s">
        <v>53</v>
      </c>
      <c r="B1" s="9"/>
      <c r="C1" s="9"/>
      <c r="D1" s="9"/>
      <c r="E1" s="9"/>
    </row>
    <row r="3" spans="1:5" ht="27.6" x14ac:dyDescent="0.3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</row>
    <row r="4" spans="1:5" x14ac:dyDescent="0.3">
      <c r="A4" s="3" t="s">
        <v>59</v>
      </c>
      <c r="B4" s="3">
        <v>8</v>
      </c>
      <c r="C4" s="3">
        <v>8</v>
      </c>
      <c r="D4" s="3">
        <v>7</v>
      </c>
      <c r="E4" s="3">
        <v>5</v>
      </c>
    </row>
    <row r="5" spans="1:5" x14ac:dyDescent="0.3">
      <c r="A5" s="3" t="s">
        <v>60</v>
      </c>
      <c r="B5" s="3">
        <v>7</v>
      </c>
      <c r="C5" s="3">
        <v>7</v>
      </c>
      <c r="D5" s="3">
        <v>8</v>
      </c>
      <c r="E5" s="3">
        <v>9</v>
      </c>
    </row>
    <row r="6" spans="1:5" x14ac:dyDescent="0.3">
      <c r="A6" s="3" t="s">
        <v>61</v>
      </c>
      <c r="B6" s="3">
        <v>9</v>
      </c>
      <c r="C6" s="3">
        <v>8</v>
      </c>
      <c r="D6" s="3">
        <v>9</v>
      </c>
      <c r="E6" s="3">
        <v>5</v>
      </c>
    </row>
    <row r="7" spans="1:5" x14ac:dyDescent="0.3">
      <c r="A7" s="3" t="s">
        <v>62</v>
      </c>
      <c r="B7" s="3">
        <v>8</v>
      </c>
      <c r="C7" s="3">
        <v>9</v>
      </c>
      <c r="D7" s="3">
        <v>7</v>
      </c>
      <c r="E7" s="3">
        <v>4</v>
      </c>
    </row>
    <row r="9" spans="1:5" x14ac:dyDescent="0.3">
      <c r="A9" s="4" t="s">
        <v>42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zoomScaleNormal="100" workbookViewId="0">
      <pane ySplit="3" topLeftCell="A4" activePane="bottomLeft" state="frozen"/>
      <selection pane="bottomLeft" activeCell="D10" sqref="D10"/>
    </sheetView>
  </sheetViews>
  <sheetFormatPr defaultColWidth="8.6640625" defaultRowHeight="14.4" x14ac:dyDescent="0.3"/>
  <cols>
    <col min="1" max="1" width="59.5546875" customWidth="1"/>
    <col min="2" max="2" width="21.33203125" customWidth="1"/>
  </cols>
  <sheetData>
    <row r="1" spans="1:2" ht="17.399999999999999" x14ac:dyDescent="0.3">
      <c r="A1" s="9" t="s">
        <v>63</v>
      </c>
      <c r="B1" s="9"/>
    </row>
    <row r="3" spans="1:2" x14ac:dyDescent="0.3">
      <c r="A3" s="2" t="s">
        <v>64</v>
      </c>
      <c r="B3" s="2" t="s">
        <v>65</v>
      </c>
    </row>
    <row r="4" spans="1:2" x14ac:dyDescent="0.3">
      <c r="A4" s="3" t="s">
        <v>66</v>
      </c>
      <c r="B4" s="3">
        <v>40</v>
      </c>
    </row>
    <row r="5" spans="1:2" x14ac:dyDescent="0.3">
      <c r="A5" s="3" t="s">
        <v>67</v>
      </c>
      <c r="B5" s="3">
        <v>25</v>
      </c>
    </row>
    <row r="6" spans="1:2" x14ac:dyDescent="0.3">
      <c r="A6" s="3" t="s">
        <v>68</v>
      </c>
      <c r="B6" s="3">
        <v>20</v>
      </c>
    </row>
    <row r="7" spans="1:2" x14ac:dyDescent="0.3">
      <c r="A7" s="3" t="s">
        <v>69</v>
      </c>
      <c r="B7" s="3">
        <v>10</v>
      </c>
    </row>
    <row r="8" spans="1:2" x14ac:dyDescent="0.3">
      <c r="A8" s="3" t="s">
        <v>70</v>
      </c>
      <c r="B8" s="3">
        <v>5</v>
      </c>
    </row>
    <row r="10" spans="1:2" x14ac:dyDescent="0.3">
      <c r="A10" s="4" t="s">
        <v>42</v>
      </c>
    </row>
    <row r="12" spans="1:2" x14ac:dyDescent="0.3">
      <c r="A12" s="5" t="s">
        <v>43</v>
      </c>
      <c r="B12" s="6">
        <f>SUM(B4:B8)</f>
        <v>100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zoomScaleNormal="100" workbookViewId="0">
      <pane ySplit="3" topLeftCell="A4" activePane="bottomLeft" state="frozen"/>
      <selection pane="bottomLeft" activeCell="D9" sqref="D9"/>
    </sheetView>
  </sheetViews>
  <sheetFormatPr defaultColWidth="8.6640625" defaultRowHeight="14.4" x14ac:dyDescent="0.3"/>
  <cols>
    <col min="1" max="1" width="12" customWidth="1"/>
    <col min="2" max="2" width="16" customWidth="1"/>
    <col min="3" max="3" width="32" customWidth="1"/>
    <col min="4" max="4" width="30" customWidth="1"/>
    <col min="5" max="5" width="16" customWidth="1"/>
    <col min="6" max="6" width="40" customWidth="1"/>
  </cols>
  <sheetData>
    <row r="1" spans="1:6" ht="17.399999999999999" x14ac:dyDescent="0.3">
      <c r="A1" s="9" t="s">
        <v>71</v>
      </c>
      <c r="B1" s="9"/>
      <c r="C1" s="9"/>
    </row>
    <row r="3" spans="1:6" x14ac:dyDescent="0.3">
      <c r="A3" s="2" t="s">
        <v>34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</row>
    <row r="4" spans="1:6" ht="26.4" x14ac:dyDescent="0.3">
      <c r="A4" s="3" t="s">
        <v>38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</row>
    <row r="5" spans="1:6" ht="26.4" x14ac:dyDescent="0.3">
      <c r="A5" s="3" t="s">
        <v>36</v>
      </c>
      <c r="B5" s="3" t="s">
        <v>82</v>
      </c>
      <c r="C5" s="3" t="s">
        <v>83</v>
      </c>
      <c r="D5" s="3" t="s">
        <v>84</v>
      </c>
      <c r="E5" s="3" t="s">
        <v>80</v>
      </c>
      <c r="F5" s="3" t="s">
        <v>85</v>
      </c>
    </row>
    <row r="6" spans="1:6" ht="26.4" x14ac:dyDescent="0.3">
      <c r="A6" s="3" t="s">
        <v>37</v>
      </c>
      <c r="B6" s="3" t="s">
        <v>86</v>
      </c>
      <c r="C6" s="3" t="s">
        <v>87</v>
      </c>
      <c r="D6" s="3" t="s">
        <v>88</v>
      </c>
      <c r="E6" s="3" t="s">
        <v>89</v>
      </c>
      <c r="F6" s="3" t="s">
        <v>90</v>
      </c>
    </row>
    <row r="7" spans="1:6" ht="26.4" x14ac:dyDescent="0.3">
      <c r="A7" s="3" t="s">
        <v>91</v>
      </c>
      <c r="B7" s="3" t="s">
        <v>92</v>
      </c>
      <c r="C7" s="3" t="s">
        <v>93</v>
      </c>
      <c r="D7" s="3" t="s">
        <v>94</v>
      </c>
      <c r="E7" s="3" t="s">
        <v>95</v>
      </c>
      <c r="F7" s="3" t="s">
        <v>96</v>
      </c>
    </row>
    <row r="8" spans="1:6" ht="26.4" x14ac:dyDescent="0.3">
      <c r="A8" s="3" t="s">
        <v>40</v>
      </c>
      <c r="B8" s="3" t="s">
        <v>97</v>
      </c>
      <c r="C8" s="3" t="s">
        <v>98</v>
      </c>
      <c r="D8" s="3" t="s">
        <v>99</v>
      </c>
      <c r="E8" s="3" t="s">
        <v>100</v>
      </c>
      <c r="F8" s="3" t="s">
        <v>101</v>
      </c>
    </row>
    <row r="9" spans="1:6" ht="26.4" x14ac:dyDescent="0.3">
      <c r="A9" s="3" t="s">
        <v>41</v>
      </c>
      <c r="B9" s="3" t="s">
        <v>97</v>
      </c>
      <c r="C9" s="3" t="s">
        <v>102</v>
      </c>
      <c r="D9" s="3" t="s">
        <v>103</v>
      </c>
      <c r="E9" s="3" t="s">
        <v>104</v>
      </c>
      <c r="F9" s="3" t="s">
        <v>105</v>
      </c>
    </row>
    <row r="11" spans="1:6" x14ac:dyDescent="0.3">
      <c r="A11" s="4" t="s">
        <v>106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4"/>
  <sheetViews>
    <sheetView zoomScaleNormal="100" workbookViewId="0">
      <pane ySplit="3" topLeftCell="A4" activePane="bottomLeft" state="frozen"/>
      <selection pane="bottomLeft" activeCell="F14" sqref="F14"/>
    </sheetView>
  </sheetViews>
  <sheetFormatPr defaultColWidth="8.6640625" defaultRowHeight="14.4" x14ac:dyDescent="0.3"/>
  <cols>
    <col min="1" max="1" width="46.77734375" bestFit="1" customWidth="1"/>
    <col min="2" max="2" width="22" customWidth="1"/>
    <col min="3" max="3" width="18.5546875" bestFit="1" customWidth="1"/>
  </cols>
  <sheetData>
    <row r="1" spans="1:3" ht="17.399999999999999" x14ac:dyDescent="0.3">
      <c r="A1" s="9" t="s">
        <v>107</v>
      </c>
      <c r="B1" s="9"/>
      <c r="C1" s="9"/>
    </row>
    <row r="3" spans="1:3" ht="27.6" x14ac:dyDescent="0.3">
      <c r="A3" s="2" t="s">
        <v>108</v>
      </c>
      <c r="B3" s="2" t="s">
        <v>109</v>
      </c>
      <c r="C3" s="2" t="s">
        <v>110</v>
      </c>
    </row>
    <row r="4" spans="1:3" x14ac:dyDescent="0.3">
      <c r="A4" s="3" t="s">
        <v>111</v>
      </c>
      <c r="B4" s="3" t="s">
        <v>112</v>
      </c>
      <c r="C4" s="3">
        <v>2</v>
      </c>
    </row>
    <row r="5" spans="1:3" x14ac:dyDescent="0.3">
      <c r="A5" s="3" t="s">
        <v>113</v>
      </c>
      <c r="B5" s="3" t="s">
        <v>114</v>
      </c>
      <c r="C5" s="3">
        <v>1.5</v>
      </c>
    </row>
    <row r="6" spans="1:3" x14ac:dyDescent="0.3">
      <c r="A6" s="3" t="s">
        <v>115</v>
      </c>
      <c r="B6" s="3" t="s">
        <v>116</v>
      </c>
      <c r="C6" s="3">
        <v>2.5</v>
      </c>
    </row>
    <row r="7" spans="1:3" x14ac:dyDescent="0.3">
      <c r="A7" s="3" t="s">
        <v>117</v>
      </c>
      <c r="B7" s="3" t="s">
        <v>118</v>
      </c>
      <c r="C7" s="3">
        <v>4</v>
      </c>
    </row>
    <row r="9" spans="1:3" x14ac:dyDescent="0.3">
      <c r="A9" s="4" t="s">
        <v>119</v>
      </c>
    </row>
    <row r="16" spans="1:3" ht="17.399999999999999" x14ac:dyDescent="0.3">
      <c r="A16" s="9" t="s">
        <v>120</v>
      </c>
      <c r="B16" s="9"/>
      <c r="C16" s="9"/>
    </row>
    <row r="18" spans="1:2" x14ac:dyDescent="0.3">
      <c r="A18" s="7" t="s">
        <v>1</v>
      </c>
      <c r="B18" s="7" t="s">
        <v>2</v>
      </c>
    </row>
    <row r="19" spans="1:2" x14ac:dyDescent="0.3">
      <c r="A19" s="8" t="s">
        <v>121</v>
      </c>
      <c r="B19" s="8" t="s">
        <v>122</v>
      </c>
    </row>
    <row r="20" spans="1:2" x14ac:dyDescent="0.3">
      <c r="A20" s="8" t="s">
        <v>123</v>
      </c>
      <c r="B20" s="8" t="s">
        <v>124</v>
      </c>
    </row>
    <row r="21" spans="1:2" x14ac:dyDescent="0.3">
      <c r="A21" s="8" t="s">
        <v>125</v>
      </c>
      <c r="B21" s="8" t="s">
        <v>126</v>
      </c>
    </row>
    <row r="22" spans="1:2" x14ac:dyDescent="0.3">
      <c r="A22" s="8" t="s">
        <v>127</v>
      </c>
      <c r="B22" s="8" t="s">
        <v>128</v>
      </c>
    </row>
    <row r="23" spans="1:2" x14ac:dyDescent="0.3">
      <c r="A23" s="8" t="s">
        <v>129</v>
      </c>
      <c r="B23" s="8" t="s">
        <v>130</v>
      </c>
    </row>
    <row r="24" spans="1:2" x14ac:dyDescent="0.3">
      <c r="A24" s="8" t="s">
        <v>131</v>
      </c>
      <c r="B24" s="8" t="s">
        <v>132</v>
      </c>
    </row>
  </sheetData>
  <mergeCells count="2">
    <mergeCell ref="A1:C1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zoomScaleNormal="100" workbookViewId="0">
      <pane ySplit="3" topLeftCell="A4" activePane="bottomLeft" state="frozen"/>
      <selection pane="bottomLeft" activeCell="B17" sqref="B17"/>
    </sheetView>
  </sheetViews>
  <sheetFormatPr defaultColWidth="8.6640625" defaultRowHeight="14.4" x14ac:dyDescent="0.3"/>
  <cols>
    <col min="1" max="1" width="38" customWidth="1"/>
    <col min="2" max="2" width="55" customWidth="1"/>
    <col min="3" max="3" width="18" customWidth="1"/>
  </cols>
  <sheetData>
    <row r="1" spans="1:3" ht="17.399999999999999" x14ac:dyDescent="0.3">
      <c r="A1" s="9" t="s">
        <v>133</v>
      </c>
      <c r="B1" s="9"/>
    </row>
    <row r="3" spans="1:3" ht="27.6" x14ac:dyDescent="0.3">
      <c r="A3" s="2" t="s">
        <v>134</v>
      </c>
      <c r="B3" s="2" t="s">
        <v>135</v>
      </c>
      <c r="C3" s="2" t="s">
        <v>136</v>
      </c>
    </row>
    <row r="4" spans="1:3" x14ac:dyDescent="0.3">
      <c r="A4" s="3" t="s">
        <v>137</v>
      </c>
      <c r="B4" s="3" t="s">
        <v>138</v>
      </c>
      <c r="C4" s="3">
        <v>2</v>
      </c>
    </row>
    <row r="5" spans="1:3" ht="26.4" x14ac:dyDescent="0.3">
      <c r="A5" s="3" t="s">
        <v>139</v>
      </c>
      <c r="B5" s="3" t="s">
        <v>140</v>
      </c>
      <c r="C5" s="3">
        <v>6</v>
      </c>
    </row>
    <row r="6" spans="1:3" x14ac:dyDescent="0.3">
      <c r="A6" s="3" t="s">
        <v>141</v>
      </c>
      <c r="B6" s="3" t="s">
        <v>142</v>
      </c>
      <c r="C6" s="3">
        <v>2</v>
      </c>
    </row>
    <row r="7" spans="1:3" x14ac:dyDescent="0.3">
      <c r="A7" s="3" t="s">
        <v>143</v>
      </c>
      <c r="B7" s="3" t="s">
        <v>144</v>
      </c>
      <c r="C7" s="3">
        <v>2</v>
      </c>
    </row>
    <row r="8" spans="1:3" x14ac:dyDescent="0.3">
      <c r="A8" s="3" t="s">
        <v>145</v>
      </c>
      <c r="B8" s="3" t="s">
        <v>146</v>
      </c>
      <c r="C8" s="3">
        <v>3</v>
      </c>
    </row>
    <row r="9" spans="1:3" ht="26.4" x14ac:dyDescent="0.3">
      <c r="A9" s="3" t="s">
        <v>147</v>
      </c>
      <c r="B9" s="3" t="s">
        <v>148</v>
      </c>
      <c r="C9" s="3">
        <v>1</v>
      </c>
    </row>
    <row r="10" spans="1:3" x14ac:dyDescent="0.3">
      <c r="A10" s="3" t="s">
        <v>149</v>
      </c>
      <c r="B10" s="3" t="s">
        <v>150</v>
      </c>
      <c r="C10" s="3">
        <v>1</v>
      </c>
    </row>
    <row r="11" spans="1:3" ht="26.4" x14ac:dyDescent="0.3">
      <c r="A11" s="3" t="s">
        <v>151</v>
      </c>
      <c r="B11" s="3" t="s">
        <v>152</v>
      </c>
      <c r="C11" s="3">
        <v>1</v>
      </c>
    </row>
    <row r="12" spans="1:3" ht="26.4" x14ac:dyDescent="0.3">
      <c r="A12" s="3" t="s">
        <v>153</v>
      </c>
      <c r="B12" s="3" t="s">
        <v>154</v>
      </c>
      <c r="C12" s="3">
        <v>1</v>
      </c>
    </row>
    <row r="13" spans="1:3" ht="26.4" x14ac:dyDescent="0.3">
      <c r="A13" s="3" t="s">
        <v>155</v>
      </c>
      <c r="B13" s="3" t="s">
        <v>156</v>
      </c>
      <c r="C13" s="3">
        <v>1</v>
      </c>
    </row>
    <row r="15" spans="1:3" x14ac:dyDescent="0.3">
      <c r="A15" s="4" t="s">
        <v>13</v>
      </c>
    </row>
    <row r="17" spans="1:3" x14ac:dyDescent="0.3">
      <c r="A17" s="5" t="s">
        <v>43</v>
      </c>
      <c r="C17" s="5">
        <f>SUM(C4:C13)</f>
        <v>20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3"/>
  <sheetViews>
    <sheetView zoomScaleNormal="100" workbookViewId="0">
      <pane ySplit="3" topLeftCell="A4" activePane="bottomLeft" state="frozen"/>
      <selection pane="bottomLeft" sqref="A1:B1"/>
    </sheetView>
  </sheetViews>
  <sheetFormatPr defaultColWidth="8.6640625" defaultRowHeight="14.4" x14ac:dyDescent="0.3"/>
  <cols>
    <col min="1" max="1" width="45" customWidth="1"/>
    <col min="2" max="2" width="25" customWidth="1"/>
  </cols>
  <sheetData>
    <row r="1" spans="1:2" ht="17.399999999999999" x14ac:dyDescent="0.3">
      <c r="A1" s="9" t="s">
        <v>157</v>
      </c>
      <c r="B1" s="9"/>
    </row>
    <row r="3" spans="1:2" x14ac:dyDescent="0.3">
      <c r="A3" s="2" t="s">
        <v>1</v>
      </c>
      <c r="B3" s="2" t="s">
        <v>2</v>
      </c>
    </row>
    <row r="4" spans="1:2" x14ac:dyDescent="0.3">
      <c r="A4" s="3" t="s">
        <v>158</v>
      </c>
      <c r="B4" s="3" t="s">
        <v>159</v>
      </c>
    </row>
    <row r="5" spans="1:2" x14ac:dyDescent="0.3">
      <c r="A5" s="3" t="s">
        <v>160</v>
      </c>
      <c r="B5" s="3" t="s">
        <v>161</v>
      </c>
    </row>
    <row r="6" spans="1:2" x14ac:dyDescent="0.3">
      <c r="A6" s="3" t="s">
        <v>162</v>
      </c>
      <c r="B6" s="3" t="s">
        <v>163</v>
      </c>
    </row>
    <row r="7" spans="1:2" x14ac:dyDescent="0.3">
      <c r="A7" s="3" t="s">
        <v>164</v>
      </c>
      <c r="B7" s="3" t="s">
        <v>165</v>
      </c>
    </row>
    <row r="8" spans="1:2" x14ac:dyDescent="0.3">
      <c r="A8" s="3" t="s">
        <v>166</v>
      </c>
      <c r="B8" s="3" t="s">
        <v>167</v>
      </c>
    </row>
    <row r="9" spans="1:2" x14ac:dyDescent="0.3">
      <c r="A9" s="3" t="s">
        <v>168</v>
      </c>
      <c r="B9" s="3" t="s">
        <v>169</v>
      </c>
    </row>
    <row r="10" spans="1:2" ht="26.4" x14ac:dyDescent="0.3">
      <c r="A10" s="3" t="s">
        <v>170</v>
      </c>
      <c r="B10" s="3" t="s">
        <v>171</v>
      </c>
    </row>
    <row r="11" spans="1:2" x14ac:dyDescent="0.3">
      <c r="A11" s="3" t="s">
        <v>172</v>
      </c>
      <c r="B11" s="3" t="s">
        <v>173</v>
      </c>
    </row>
    <row r="13" spans="1:2" x14ac:dyDescent="0.3">
      <c r="A13" s="4" t="s">
        <v>13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2"/>
  <sheetViews>
    <sheetView tabSelected="1" zoomScaleNormal="100" workbookViewId="0">
      <pane ySplit="3" topLeftCell="A4" activePane="bottomLeft" state="frozen"/>
      <selection pane="bottomLeft" activeCell="D19" sqref="D19"/>
    </sheetView>
  </sheetViews>
  <sheetFormatPr defaultColWidth="8.6640625" defaultRowHeight="14.4" x14ac:dyDescent="0.3"/>
  <cols>
    <col min="1" max="1" width="38" customWidth="1"/>
    <col min="2" max="2" width="18" customWidth="1"/>
  </cols>
  <sheetData>
    <row r="1" spans="1:2" ht="17.399999999999999" x14ac:dyDescent="0.3">
      <c r="A1" s="9" t="s">
        <v>174</v>
      </c>
      <c r="B1" s="9"/>
    </row>
    <row r="3" spans="1:2" x14ac:dyDescent="0.3">
      <c r="A3" s="2" t="s">
        <v>175</v>
      </c>
      <c r="B3" s="2" t="s">
        <v>176</v>
      </c>
    </row>
    <row r="4" spans="1:2" x14ac:dyDescent="0.3">
      <c r="A4" s="3" t="s">
        <v>177</v>
      </c>
      <c r="B4" s="3" t="s">
        <v>178</v>
      </c>
    </row>
    <row r="5" spans="1:2" x14ac:dyDescent="0.3">
      <c r="A5" s="3" t="s">
        <v>179</v>
      </c>
      <c r="B5" s="3" t="s">
        <v>180</v>
      </c>
    </row>
    <row r="6" spans="1:2" x14ac:dyDescent="0.3">
      <c r="A6" s="3" t="s">
        <v>181</v>
      </c>
      <c r="B6" s="3" t="s">
        <v>182</v>
      </c>
    </row>
    <row r="7" spans="1:2" x14ac:dyDescent="0.3">
      <c r="A7" s="3" t="s">
        <v>183</v>
      </c>
      <c r="B7" s="3" t="s">
        <v>184</v>
      </c>
    </row>
    <row r="8" spans="1:2" x14ac:dyDescent="0.3">
      <c r="A8" s="3" t="s">
        <v>185</v>
      </c>
      <c r="B8" s="3" t="s">
        <v>186</v>
      </c>
    </row>
    <row r="9" spans="1:2" x14ac:dyDescent="0.3">
      <c r="A9" s="3" t="s">
        <v>187</v>
      </c>
      <c r="B9" s="3" t="s">
        <v>188</v>
      </c>
    </row>
    <row r="10" spans="1:2" x14ac:dyDescent="0.3">
      <c r="A10" s="3" t="s">
        <v>189</v>
      </c>
      <c r="B10" s="3" t="s">
        <v>190</v>
      </c>
    </row>
    <row r="12" spans="1:2" x14ac:dyDescent="0.3">
      <c r="A12" s="4" t="s">
        <v>13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 Facts</vt:lpstr>
      <vt:lpstr>Market Sizing</vt:lpstr>
      <vt:lpstr>Brand Preference</vt:lpstr>
      <vt:lpstr>Segment Requirements</vt:lpstr>
      <vt:lpstr>Stakeholder Priority</vt:lpstr>
      <vt:lpstr>Budget Allocation Benchmark</vt:lpstr>
      <vt:lpstr>Competitor Analysis</vt:lpstr>
      <vt:lpstr>Influencer Classification</vt:lpstr>
      <vt:lpstr>Marketing Investments</vt:lpstr>
      <vt:lpstr>Campaign Metrics</vt:lpstr>
      <vt:lpstr>Performance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Yash Mittal</cp:lastModifiedBy>
  <cp:revision>0</cp:revision>
  <dcterms:created xsi:type="dcterms:W3CDTF">2026-07-22T12:28:02Z</dcterms:created>
  <dcterms:modified xsi:type="dcterms:W3CDTF">2026-07-22T12:51:39Z</dcterms:modified>
  <dc:language>en-US</dc:language>
</cp:coreProperties>
</file>